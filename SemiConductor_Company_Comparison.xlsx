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dwaangirach/Downloads/"/>
    </mc:Choice>
  </mc:AlternateContent>
  <xr:revisionPtr revIDLastSave="0" documentId="8_{F32FF330-5C44-D94C-A464-952D2F4B84E4}" xr6:coauthVersionLast="47" xr6:coauthVersionMax="47" xr10:uidLastSave="{00000000-0000-0000-0000-000000000000}"/>
  <bookViews>
    <workbookView xWindow="0" yWindow="720" windowWidth="29400" windowHeight="18400" xr2:uid="{F81157CD-3E38-B542-8FD1-28F82B1614CC}"/>
  </bookViews>
  <sheets>
    <sheet name="FinalTable" sheetId="2" r:id="rId1"/>
    <sheet name="MasterTable" sheetId="1" r:id="rId2"/>
  </sheets>
  <definedNames>
    <definedName name="ExternalData_1" localSheetId="0" hidden="1">FinalTable!$A$1:$F$4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DA60E5-A03C-6340-9692-B79DAE4FCADB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<sst xmlns="http://schemas.openxmlformats.org/spreadsheetml/2006/main" count="19" uniqueCount="10">
  <si>
    <t>Company</t>
  </si>
  <si>
    <t>Revenue Growth</t>
  </si>
  <si>
    <t>Profit Margin</t>
  </si>
  <si>
    <t>P/E</t>
  </si>
  <si>
    <t>R&amp;D Spend</t>
  </si>
  <si>
    <t>Market Cap</t>
  </si>
  <si>
    <t>NVIDIA</t>
  </si>
  <si>
    <t>AMD</t>
  </si>
  <si>
    <t>Intel</t>
  </si>
  <si>
    <t>weak negative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</si>
</sst>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Semiconductor</a:t>
            </a:r>
            <a:r>
              <a:rPr lang="en-US" sz="1400" baseline="0"/>
              <a:t> Company Comparison</a:t>
            </a:r>
            <a:endParaRPr lang="en-US" sz="1400"/>
          </a:p>
        </c:rich>
      </c:tx>
      <c:layout>
        <c:manualLayout>
          <c:xMode val="edge"/>
          <c:yMode val="edge"/>
          <c:x val="0.34283353976820313"/>
          <c:y val="2.9367939061965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87799699194904"/>
          <c:y val="0.13749302937699356"/>
          <c:w val="0.78302087941254539"/>
          <c:h val="0.72619459748834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FinalTable!$C$1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93573055825888"/>
                  <c:y val="-5.54897280899377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302565-7A66-B14F-B581-AF470484C23A}" type="CELLRANGE">
                      <a:rPr lang="en-US" sz="1600"/>
                      <a:pPr>
                        <a:defRPr sz="1600"/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18657042869641"/>
                      <c:h val="0.138819626713327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F72-1C42-B2F2-2011A955E096}"/>
                </c:ext>
              </c:extLst>
            </c:dLbl>
            <c:dLbl>
              <c:idx val="1"/>
              <c:layout>
                <c:manualLayout>
                  <c:x val="-6.2500000000000097E-2"/>
                  <c:y val="-5.09259259259259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B6D3E2-79F9-204F-8756-8EB08341A217}" type="CELLRANGE">
                      <a:rPr lang="en-US" sz="1600"/>
                      <a:pPr>
                        <a:defRPr sz="1600"/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66666666666666"/>
                      <c:h val="0.175856663750364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F72-1C42-B2F2-2011A955E0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F72-1C42-B2F2-2011A955E0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FinalTable!$B$2:$B$4</c:f>
              <c:numCache>
                <c:formatCode>General</c:formatCode>
                <c:ptCount val="3"/>
                <c:pt idx="0">
                  <c:v>30</c:v>
                </c:pt>
                <c:pt idx="1">
                  <c:v>18</c:v>
                </c:pt>
                <c:pt idx="2">
                  <c:v>5</c:v>
                </c:pt>
              </c:numCache>
            </c:numRef>
          </c:xVal>
          <c:yVal>
            <c:numRef>
              <c:f>FinalTable!$C$2:$C$4</c:f>
              <c:numCache>
                <c:formatCode>General</c:formatCode>
                <c:ptCount val="3"/>
                <c:pt idx="0">
                  <c:v>25</c:v>
                </c:pt>
                <c:pt idx="1">
                  <c:v>10</c:v>
                </c:pt>
                <c:pt idx="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(FinalTable!$A$2,FinalTable!$A$4)</c15:f>
                <c15:dlblRangeCache>
                  <c:ptCount val="2"/>
                  <c:pt idx="0">
                    <c:v>NVIDIA</c:v>
                  </c:pt>
                  <c:pt idx="1">
                    <c:v>Intel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F72-1C42-B2F2-2011A955E0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372060319"/>
        <c:axId val="649589951"/>
      </c:scatterChart>
      <c:valAx>
        <c:axId val="3720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Revenue Growth (%)</a:t>
                </a:r>
              </a:p>
            </c:rich>
          </c:tx>
          <c:layout>
            <c:manualLayout>
              <c:xMode val="edge"/>
              <c:yMode val="edge"/>
              <c:x val="0.42862293196496509"/>
              <c:y val="0.937378466278671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89951"/>
        <c:crosses val="autoZero"/>
        <c:crossBetween val="midCat"/>
      </c:valAx>
      <c:valAx>
        <c:axId val="6495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Profit</a:t>
                </a:r>
                <a:r>
                  <a:rPr lang="en-GB" sz="1200" baseline="0"/>
                  <a:t> Margin (%)</a:t>
                </a:r>
                <a:endParaRPr lang="en-GB" sz="1200"/>
              </a:p>
            </c:rich>
          </c:tx>
          <c:layout>
            <c:manualLayout>
              <c:xMode val="edge"/>
              <c:yMode val="edge"/>
              <c:x val="3.7008426966292141E-2"/>
              <c:y val="0.38840957719958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6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9</xdr:row>
      <xdr:rowOff>76200</xdr:rowOff>
    </xdr:from>
    <xdr:to>
      <xdr:col>10</xdr:col>
      <xdr:colOff>584200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A02B6-0014-AF6D-3A9B-741802D52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647AAF-BF4B-D149-A5C1-F7CC7C4261C4}" autoFormatId="16" applyNumberFormats="0" applyBorderFormats="0" applyFontFormats="0" applyPatternFormats="0" applyAlignmentFormats="0" applyWidthHeightFormats="0">
  <queryTableRefresh nextId="7">
    <queryTableFields count="6">
      <queryTableField id="1" name="Company" tableColumnId="1"/>
      <queryTableField id="2" name="Revenue Growth" tableColumnId="2"/>
      <queryTableField id="3" name="Profit Margin" tableColumnId="3"/>
      <queryTableField id="4" name="P/E" tableColumnId="4"/>
      <queryTableField id="5" name="R&amp;D Spend" tableColumnId="5"/>
      <queryTableField id="6" name="Market Ca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7EFAB4-27C4-E64F-8F31-220EDEF2CC83}" name="Table" displayName="Table" ref="A1:F4" tableType="queryTable" totalsRowShown="0">
  <autoFilter ref="A1:F4" xr:uid="{3B7EFAB4-27C4-E64F-8F31-220EDEF2CC83}"/>
  <tableColumns count="6">
    <tableColumn id="1" xr3:uid="{D5B81DF0-242B-294E-A616-2BB1CC2DDF32}" uniqueName="1" name="Company" queryTableFieldId="1" dataDxfId="0"/>
    <tableColumn id="2" xr3:uid="{85EA3F79-4954-D846-BCCA-5D1EA675811B}" uniqueName="2" name="Revenue Growth" queryTableFieldId="2"/>
    <tableColumn id="3" xr3:uid="{84757888-0E18-F74B-9AAD-A26FBD2373EC}" uniqueName="3" name="Profit Margin" queryTableFieldId="3"/>
    <tableColumn id="4" xr3:uid="{E67B375A-4155-A54F-A708-DB34E8CAFC70}" uniqueName="4" name="P/E" queryTableFieldId="4"/>
    <tableColumn id="5" xr3:uid="{1F6C0D22-E94C-214C-8886-93F6EB1FD36F}" uniqueName="5" name="R&amp;D Spend" queryTableFieldId="5"/>
    <tableColumn id="6" xr3:uid="{856A9475-ABEC-2246-97ED-A2995CF52807}" uniqueName="6" name="Market Cap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D8DC2-EA86-5D4D-A3E7-B20E275D8300}" name="Table1" displayName="Table1" ref="A1:F4" totalsRowShown="0" headerRowDxfId="1">
  <autoFilter ref="A1:F4" xr:uid="{EA6D8DC2-EA86-5D4D-A3E7-B20E275D8300}"/>
  <tableColumns count="6">
    <tableColumn id="1" xr3:uid="{4E786130-C6B4-CC4C-8371-C6C79FFB9F55}" name="Company"/>
    <tableColumn id="2" xr3:uid="{EC43EB09-B837-E84C-9B1E-37DF648D83FB}" name="Revenue Growth"/>
    <tableColumn id="3" xr3:uid="{82D5E53C-674A-824F-9FB9-C32E75D701F3}" name="Profit Margin"/>
    <tableColumn id="4" xr3:uid="{EF5F188C-2CEA-FF4C-9E0B-E4B7C7CC9A10}" name="P/E"/>
    <tableColumn id="5" xr3:uid="{A099B6CE-9B82-5F44-BCC0-F40A8E35172A}" name="R&amp;D Spend"/>
    <tableColumn id="6" xr3:uid="{A0AAF425-923C-5248-8AD8-DDC6DC397212}" name="Market C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6750-B622-CA4E-8D14-CE294D3A8596}">
  <dimension ref="A1:I4"/>
  <sheetViews>
    <sheetView tabSelected="1" workbookViewId="0">
      <selection activeCell="H5" sqref="H5"/>
    </sheetView>
  </sheetViews>
  <sheetFormatPr baseColWidth="10" defaultRowHeight="16" x14ac:dyDescent="0.2"/>
  <cols>
    <col min="1" max="1" width="11.5" bestFit="1" customWidth="1"/>
    <col min="2" max="2" width="17" bestFit="1" customWidth="1"/>
    <col min="3" max="3" width="14.33203125" bestFit="1" customWidth="1"/>
    <col min="4" max="4" width="6.5" bestFit="1" customWidth="1"/>
    <col min="5" max="5" width="12.6640625" bestFit="1" customWidth="1"/>
    <col min="6" max="6" width="13.1640625" bestFit="1" customWidth="1"/>
    <col min="9" max="9" width="28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">
      <c r="A2" s="2" t="s">
        <v>6</v>
      </c>
      <c r="B2">
        <v>30</v>
      </c>
      <c r="C2">
        <v>25</v>
      </c>
      <c r="D2">
        <v>60</v>
      </c>
      <c r="E2">
        <v>12</v>
      </c>
      <c r="F2">
        <v>1500</v>
      </c>
      <c r="H2" s="3">
        <f>CORREL(Table[[#This Row],[Revenue Growth]]:B4, Table[[#This Row],[R&amp;D Spend]]:E4)</f>
        <v>-0.34905555530372923</v>
      </c>
      <c r="I2" s="3" t="s">
        <v>9</v>
      </c>
    </row>
    <row r="3" spans="1:9" x14ac:dyDescent="0.2">
      <c r="A3" s="2" t="s">
        <v>7</v>
      </c>
      <c r="B3">
        <v>18</v>
      </c>
      <c r="C3">
        <v>10</v>
      </c>
      <c r="D3">
        <v>35</v>
      </c>
      <c r="E3">
        <v>6</v>
      </c>
      <c r="F3">
        <v>300</v>
      </c>
    </row>
    <row r="4" spans="1:9" x14ac:dyDescent="0.2">
      <c r="A4" s="2" t="s">
        <v>8</v>
      </c>
      <c r="B4">
        <v>5</v>
      </c>
      <c r="C4">
        <v>8</v>
      </c>
      <c r="D4">
        <v>20</v>
      </c>
      <c r="E4">
        <v>15</v>
      </c>
      <c r="F4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E797-0576-454A-AA15-049E59E5F106}">
  <dimension ref="A1:F4"/>
  <sheetViews>
    <sheetView workbookViewId="0">
      <selection activeCell="A2" sqref="A2"/>
    </sheetView>
  </sheetViews>
  <sheetFormatPr baseColWidth="10" defaultRowHeight="16" x14ac:dyDescent="0.2"/>
  <cols>
    <col min="1" max="1" width="11.33203125" customWidth="1"/>
    <col min="2" max="2" width="16.83203125" customWidth="1"/>
    <col min="3" max="3" width="14.1640625" customWidth="1"/>
    <col min="5" max="5" width="12.5" customWidth="1"/>
    <col min="6" max="6" width="1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30</v>
      </c>
      <c r="C2">
        <v>25</v>
      </c>
      <c r="D2">
        <v>60</v>
      </c>
      <c r="E2">
        <v>12</v>
      </c>
      <c r="F2">
        <v>1500</v>
      </c>
    </row>
    <row r="3" spans="1:6" x14ac:dyDescent="0.2">
      <c r="A3" t="s">
        <v>7</v>
      </c>
      <c r="B3">
        <v>18</v>
      </c>
      <c r="C3">
        <v>10</v>
      </c>
      <c r="D3">
        <v>35</v>
      </c>
      <c r="E3">
        <v>6</v>
      </c>
      <c r="F3">
        <v>300</v>
      </c>
    </row>
    <row r="4" spans="1:6" x14ac:dyDescent="0.2">
      <c r="A4" t="s">
        <v>8</v>
      </c>
      <c r="B4">
        <v>5</v>
      </c>
      <c r="C4">
        <v>8</v>
      </c>
      <c r="D4">
        <v>20</v>
      </c>
      <c r="E4">
        <v>15</v>
      </c>
      <c r="F4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9831E-C961-6C44-B922-D6AC9FFAE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FinalTable</vt:lpstr>
      <vt:lpstr>MasterTable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Ridwaan Girach</dc:creator>
  <cp:lastModifiedBy>Ridwaan Girach</cp:lastModifiedBy>
  <dcterms:created xsi:type="dcterms:W3CDTF">2026-02-15T01:28:04Z</dcterms:created>
  <dcterms:modified xsi:type="dcterms:W3CDTF">2026-02-15T02:38:28Z</dcterms:modified>
</cp:coreProperties>
</file>